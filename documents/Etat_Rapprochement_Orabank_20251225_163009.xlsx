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EVE_NON_POINTEE" sheetId="1" state="visible" r:id="rId1"/>
    <sheet xmlns:r="http://schemas.openxmlformats.org/officeDocument/2006/relationships" name="JOURNAL_NON_POINTEE" sheetId="2" state="visible" r:id="rId2"/>
    <sheet xmlns:r="http://schemas.openxmlformats.org/officeDocument/2006/relationships" name="RAPPROCH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1" applyAlignment="1" pivotButton="0" quotePrefix="0" xfId="0">
      <alignment horizontal="center"/>
    </xf>
    <xf numFmtId="3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 d'ordre</t>
        </is>
      </c>
      <c r="B1" s="1" t="inlineStr">
        <is>
          <t>date</t>
        </is>
      </c>
      <c r="C1" s="1" t="inlineStr">
        <is>
          <t>date_valeur</t>
        </is>
      </c>
      <c r="D1" s="1" t="inlineStr">
        <is>
          <t>libelle</t>
        </is>
      </c>
      <c r="E1" s="1" t="inlineStr">
        <is>
          <t>debit</t>
        </is>
      </c>
      <c r="F1" s="1" t="inlineStr">
        <is>
          <t>credit</t>
        </is>
      </c>
    </row>
    <row r="2">
      <c r="A2" t="n">
        <v>1</v>
      </c>
      <c r="B2" t="inlineStr">
        <is>
          <t>03/11/2025</t>
        </is>
      </c>
      <c r="C2" t="inlineStr">
        <is>
          <t>03/11/2025</t>
        </is>
      </c>
      <c r="D2" t="inlineStr">
        <is>
          <t>SOLDE PRECEDENT</t>
        </is>
      </c>
      <c r="E2" t="n">
        <v>0</v>
      </c>
      <c r="F2" t="n">
        <v>0</v>
      </c>
    </row>
    <row r="3">
      <c r="A3" t="n">
        <v>56</v>
      </c>
      <c r="B3" t="inlineStr">
        <is>
          <t>24/11/2025</t>
        </is>
      </c>
      <c r="C3" t="inlineStr">
        <is>
          <t>24/11/2025</t>
        </is>
      </c>
      <c r="D3" t="inlineStr">
        <is>
          <t>ESPECES CPT 5689526 N 5689526 : ABALO PADANAM 90156097</t>
        </is>
      </c>
      <c r="E3" t="n">
        <v>499550</v>
      </c>
      <c r="F3" t="n">
        <v>0</v>
      </c>
    </row>
    <row r="4">
      <c r="A4" t="n">
        <v>63</v>
      </c>
      <c r="B4" t="inlineStr">
        <is>
          <t>24/11/2025</t>
        </is>
      </c>
      <c r="C4" t="inlineStr">
        <is>
          <t>26/11/2025</t>
        </is>
      </c>
      <c r="D4" t="inlineStr">
        <is>
          <t>CHEQUES AUTRE BANQUE - UTB SOKODE SOKODE</t>
        </is>
      </c>
      <c r="E4" t="n">
        <v>0</v>
      </c>
      <c r="F4" t="n">
        <v>58000</v>
      </c>
    </row>
    <row r="5">
      <c r="A5" t="n">
        <v>91</v>
      </c>
      <c r="B5" t="inlineStr">
        <is>
          <t>28/11/2025</t>
        </is>
      </c>
      <c r="C5" t="inlineStr">
        <is>
          <t>02/12/2025</t>
        </is>
      </c>
      <c r="D5" t="inlineStr">
        <is>
          <t>CHEQUES AUTRE BANQUE - ECOBANK VICTOIRE VICTOIRE</t>
        </is>
      </c>
      <c r="E5" t="n">
        <v>0</v>
      </c>
      <c r="F5" t="n">
        <v>316500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</t>
        </is>
      </c>
      <c r="B1" s="1" t="inlineStr">
        <is>
          <t xml:space="preserve">date </t>
        </is>
      </c>
      <c r="C1" s="1" t="inlineStr">
        <is>
          <t xml:space="preserve">libelles </t>
        </is>
      </c>
      <c r="D1" s="1" t="inlineStr">
        <is>
          <t>debit</t>
        </is>
      </c>
      <c r="E1" s="1" t="inlineStr">
        <is>
          <t>credit</t>
        </is>
      </c>
    </row>
    <row r="2">
      <c r="A2" t="n">
        <v>1</v>
      </c>
      <c r="B2" t="inlineStr">
        <is>
          <t>01/11/2025</t>
        </is>
      </c>
      <c r="C2" t="inlineStr">
        <is>
          <t>Solde au  31/10/2025</t>
        </is>
      </c>
      <c r="D2" t="n">
        <v>0</v>
      </c>
      <c r="E2" t="n">
        <v>0</v>
      </c>
    </row>
    <row r="3">
      <c r="A3" t="n">
        <v>17</v>
      </c>
      <c r="B3" t="inlineStr">
        <is>
          <t>06/11/2025</t>
        </is>
      </c>
      <c r="C3" t="inlineStr">
        <is>
          <t xml:space="preserve">Remise de chèque à l'encaissement n° </t>
        </is>
      </c>
      <c r="D3" t="n">
        <v>27000</v>
      </c>
      <c r="E3" t="n">
        <v>0</v>
      </c>
    </row>
    <row r="4">
      <c r="A4" t="n">
        <v>23</v>
      </c>
      <c r="B4" t="inlineStr">
        <is>
          <t>14/11/2025</t>
        </is>
      </c>
      <c r="C4" t="inlineStr">
        <is>
          <t>Cheque n° 5810881    MD25-1129</t>
        </is>
      </c>
      <c r="D4" t="n">
        <v>0</v>
      </c>
      <c r="E4" t="n">
        <v>1264500</v>
      </c>
    </row>
    <row r="5">
      <c r="A5" t="n">
        <v>24</v>
      </c>
      <c r="B5" t="inlineStr">
        <is>
          <t>14/11/2025</t>
        </is>
      </c>
      <c r="C5" t="inlineStr">
        <is>
          <t>Cheque n° 5810883    OP25-0238</t>
        </is>
      </c>
      <c r="D5" t="n">
        <v>0</v>
      </c>
      <c r="E5" t="n">
        <v>1177000</v>
      </c>
    </row>
    <row r="6">
      <c r="A6" t="n">
        <v>37</v>
      </c>
      <c r="B6" t="inlineStr">
        <is>
          <t>19/11/2025</t>
        </is>
      </c>
      <c r="C6" t="inlineStr">
        <is>
          <t>Cheque n° 5810886   MD25-1269-1270</t>
        </is>
      </c>
      <c r="D6" t="n">
        <v>0</v>
      </c>
      <c r="E6" t="n">
        <v>249924</v>
      </c>
    </row>
    <row r="7">
      <c r="A7" t="n">
        <v>76</v>
      </c>
      <c r="B7" t="inlineStr">
        <is>
          <t>25/11/2025</t>
        </is>
      </c>
      <c r="C7" t="inlineStr">
        <is>
          <t>Cheque n° 5810908   MD25-1278</t>
        </is>
      </c>
      <c r="D7" t="n">
        <v>0</v>
      </c>
      <c r="E7" t="n">
        <v>4281461</v>
      </c>
    </row>
    <row r="8">
      <c r="A8" t="n">
        <v>78</v>
      </c>
      <c r="B8" t="inlineStr">
        <is>
          <t>25/11/2025</t>
        </is>
      </c>
      <c r="C8" t="inlineStr">
        <is>
          <t xml:space="preserve">Remise de chèque à l'encaissement n° </t>
        </is>
      </c>
      <c r="D8" t="n">
        <v>200700</v>
      </c>
      <c r="E8" t="n">
        <v>0</v>
      </c>
    </row>
    <row r="9">
      <c r="A9" t="n">
        <v>88</v>
      </c>
      <c r="B9" t="inlineStr">
        <is>
          <t>30/11/2025</t>
        </is>
      </c>
      <c r="C9" t="inlineStr">
        <is>
          <t>Versement en especes n°  BV n°  j/11/2025,</t>
        </is>
      </c>
      <c r="D9" t="n">
        <v>906900</v>
      </c>
      <c r="E9" t="n">
        <v>0</v>
      </c>
    </row>
    <row r="10">
      <c r="A10" t="n">
        <v>92</v>
      </c>
      <c r="B10" t="inlineStr">
        <is>
          <t>30/11/2025</t>
        </is>
      </c>
      <c r="C10" t="inlineStr">
        <is>
          <t>Versement en especes n°  BV n°  j/11/2025,</t>
        </is>
      </c>
      <c r="D10" t="n">
        <v>115000</v>
      </c>
      <c r="E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2" t="inlineStr">
        <is>
          <t>Date</t>
        </is>
      </c>
      <c r="B1" s="2" t="inlineStr">
        <is>
          <t>Libellés</t>
        </is>
      </c>
      <c r="C1" s="2" t="inlineStr">
        <is>
          <t>Compte courant</t>
        </is>
      </c>
      <c r="D1" s="2" t="n"/>
      <c r="E1" s="2" t="inlineStr">
        <is>
          <t>Relevé bancaire</t>
        </is>
      </c>
      <c r="F1" s="2" t="n"/>
    </row>
    <row r="2">
      <c r="A2" s="2" t="n"/>
      <c r="B2" s="2" t="n"/>
      <c r="C2" s="2" t="inlineStr">
        <is>
          <t>Débit</t>
        </is>
      </c>
      <c r="D2" s="2" t="inlineStr">
        <is>
          <t>Crédit</t>
        </is>
      </c>
      <c r="E2" s="2" t="inlineStr">
        <is>
          <t>Débit</t>
        </is>
      </c>
      <c r="F2" s="2" t="inlineStr">
        <is>
          <t>Crédit</t>
        </is>
      </c>
    </row>
    <row r="3">
      <c r="A3" s="3" t="n"/>
      <c r="B3" s="4" t="inlineStr">
        <is>
          <t>Solde à rectifier</t>
        </is>
      </c>
      <c r="C3" s="5" t="n">
        <v>313751438</v>
      </c>
      <c r="D3" s="5" t="n"/>
      <c r="E3" s="5" t="n"/>
      <c r="F3" s="5" t="n">
        <v>319349673</v>
      </c>
    </row>
    <row r="4">
      <c r="A4" s="3" t="inlineStr">
        <is>
          <t>06/11/2025</t>
        </is>
      </c>
      <c r="B4" s="4" t="inlineStr">
        <is>
          <t xml:space="preserve">Remise de chèque à l'encaissement n° </t>
        </is>
      </c>
      <c r="C4" s="5" t="n"/>
      <c r="D4" s="5" t="n"/>
      <c r="E4" s="5" t="n"/>
      <c r="F4" s="5" t="n">
        <v>27000</v>
      </c>
    </row>
    <row r="5">
      <c r="A5" s="3" t="inlineStr">
        <is>
          <t>14/11/2025</t>
        </is>
      </c>
      <c r="B5" s="4" t="inlineStr">
        <is>
          <t>Cheque n° 5810881    MD25-1129</t>
        </is>
      </c>
      <c r="C5" s="5" t="n"/>
      <c r="D5" s="5" t="n"/>
      <c r="E5" s="5" t="n">
        <v>1264500</v>
      </c>
      <c r="F5" s="5" t="n"/>
    </row>
    <row r="6">
      <c r="A6" s="3" t="inlineStr">
        <is>
          <t>14/11/2025</t>
        </is>
      </c>
      <c r="B6" s="4" t="inlineStr">
        <is>
          <t>Cheque n° 5810883    OP25-0238</t>
        </is>
      </c>
      <c r="C6" s="5" t="n"/>
      <c r="D6" s="5" t="n"/>
      <c r="E6" s="5" t="n">
        <v>1177000</v>
      </c>
      <c r="F6" s="5" t="n"/>
    </row>
    <row r="7">
      <c r="A7" s="3" t="inlineStr">
        <is>
          <t>19/11/2025</t>
        </is>
      </c>
      <c r="B7" s="4" t="inlineStr">
        <is>
          <t>Cheque n° 5810886   MD25-1269-1270</t>
        </is>
      </c>
      <c r="C7" s="5" t="n"/>
      <c r="D7" s="5" t="n"/>
      <c r="E7" s="5" t="n">
        <v>249924</v>
      </c>
      <c r="F7" s="5" t="n"/>
    </row>
    <row r="8">
      <c r="A8" s="3" t="inlineStr">
        <is>
          <t>24/11/2025</t>
        </is>
      </c>
      <c r="B8" s="4" t="inlineStr">
        <is>
          <t>ESPECES CPT 5689526 N 5689526 : ABALO PADANAM 90156097</t>
        </is>
      </c>
      <c r="C8" s="5" t="n"/>
      <c r="D8" s="5" t="n">
        <v>499550</v>
      </c>
      <c r="E8" s="5" t="n"/>
      <c r="F8" s="5" t="n"/>
    </row>
    <row r="9">
      <c r="A9" s="3" t="inlineStr">
        <is>
          <t>24/11/2025</t>
        </is>
      </c>
      <c r="B9" s="4" t="inlineStr">
        <is>
          <t>CHEQUES AUTRE BANQUE - UTB SOKODE SOKODE</t>
        </is>
      </c>
      <c r="C9" s="5" t="n">
        <v>58000</v>
      </c>
      <c r="D9" s="5" t="n"/>
      <c r="E9" s="5" t="n"/>
      <c r="F9" s="5" t="n"/>
    </row>
    <row r="10">
      <c r="A10" s="3" t="inlineStr">
        <is>
          <t>25/11/2025</t>
        </is>
      </c>
      <c r="B10" s="4" t="inlineStr">
        <is>
          <t>Cheque n° 5810908   MD25-1278</t>
        </is>
      </c>
      <c r="C10" s="5" t="n"/>
      <c r="D10" s="5" t="n"/>
      <c r="E10" s="5" t="n">
        <v>4281461</v>
      </c>
      <c r="F10" s="5" t="n"/>
    </row>
    <row r="11">
      <c r="A11" s="3" t="inlineStr">
        <is>
          <t>25/11/2025</t>
        </is>
      </c>
      <c r="B11" s="4" t="inlineStr">
        <is>
          <t xml:space="preserve">Remise de chèque à l'encaissement n° </t>
        </is>
      </c>
      <c r="C11" s="5" t="n"/>
      <c r="D11" s="5" t="n"/>
      <c r="E11" s="5" t="n"/>
      <c r="F11" s="5" t="n">
        <v>200700</v>
      </c>
    </row>
    <row r="12">
      <c r="A12" s="3" t="inlineStr">
        <is>
          <t>28/11/2025</t>
        </is>
      </c>
      <c r="B12" s="4" t="inlineStr">
        <is>
          <t>CHEQUES AUTRE BANQUE - ECOBANK VICTOIRE VICTOIRE</t>
        </is>
      </c>
      <c r="C12" s="5" t="n">
        <v>316500</v>
      </c>
      <c r="D12" s="5" t="n"/>
      <c r="E12" s="5" t="n"/>
      <c r="F12" s="5" t="n"/>
    </row>
    <row r="13">
      <c r="A13" s="3" t="inlineStr">
        <is>
          <t>30/11/2025</t>
        </is>
      </c>
      <c r="B13" s="4" t="inlineStr">
        <is>
          <t>Versement en especes n°  BV n°  j/11/2025,</t>
        </is>
      </c>
      <c r="C13" s="5" t="n"/>
      <c r="D13" s="5" t="n"/>
      <c r="E13" s="5" t="n"/>
      <c r="F13" s="5" t="n">
        <v>906900</v>
      </c>
    </row>
    <row r="14">
      <c r="A14" s="3" t="inlineStr">
        <is>
          <t>30/11/2025</t>
        </is>
      </c>
      <c r="B14" s="4" t="inlineStr">
        <is>
          <t>Versement en especes n°  BV n°  j/11/2025,</t>
        </is>
      </c>
      <c r="C14" s="5" t="n"/>
      <c r="D14" s="5" t="n"/>
      <c r="E14" s="5" t="n"/>
      <c r="F14" s="5" t="n">
        <v>115000</v>
      </c>
    </row>
    <row r="15">
      <c r="A15" s="6" t="n"/>
      <c r="B15" s="7" t="inlineStr">
        <is>
          <t>Totaux</t>
        </is>
      </c>
      <c r="C15" s="8">
        <f>SUM(C3:C14)</f>
        <v/>
      </c>
      <c r="D15" s="8">
        <f>SUM(D3:D14)</f>
        <v/>
      </c>
      <c r="E15" s="8">
        <f>SUM(E3:E14)</f>
        <v/>
      </c>
      <c r="F15" s="8">
        <f>SUM(F3:F14)</f>
        <v/>
      </c>
    </row>
    <row r="16">
      <c r="A16" s="2" t="n"/>
      <c r="B16" s="7" t="inlineStr">
        <is>
          <t>Solde rectifié au 25/12/2025</t>
        </is>
      </c>
      <c r="C16" s="8">
        <f>IF(D15-C15&gt;0, D15-C15, "")</f>
        <v/>
      </c>
      <c r="D16" s="8">
        <f>IF(C15-D15&gt;0, C15-D15, "")</f>
        <v/>
      </c>
      <c r="E16" s="8">
        <f>IF(F15-E15&gt;0, F15-E15, "")</f>
        <v/>
      </c>
      <c r="F16" s="8">
        <f>IF(E15-F15&gt;0, E15-F15, "")</f>
        <v/>
      </c>
    </row>
    <row r="17">
      <c r="A17" s="6" t="n"/>
      <c r="B17" s="7" t="inlineStr">
        <is>
          <t>TOTAUX GENERAUX</t>
        </is>
      </c>
      <c r="C17" s="8">
        <f>SUM(C15, C16)</f>
        <v/>
      </c>
      <c r="D17" s="8">
        <f>SUM(D15, D16)</f>
        <v/>
      </c>
      <c r="E17" s="8">
        <f>SUM(E15, E16)</f>
        <v/>
      </c>
      <c r="F17" s="8">
        <f>SUM(F15, F16)</f>
        <v/>
      </c>
    </row>
  </sheetData>
  <mergeCells count="4">
    <mergeCell ref="C1:D1"/>
    <mergeCell ref="B1:B2"/>
    <mergeCell ref="E1:F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2025-12-25T16:30:09Z</dcterms:created>
  <dcterms:modified xmlns:dcterms="http://purl.org/dc/terms/" xmlns:xsi="http://www.w3.org/2001/XMLSchema-instance" xsi:type="dcterms:W3CDTF">2025-12-25T16:30:09Z</dcterms:modified>
</cp:coreProperties>
</file>