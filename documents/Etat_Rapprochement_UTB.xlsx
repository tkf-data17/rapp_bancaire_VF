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06/10/2025</t>
        </is>
      </c>
      <c r="C2" t="inlineStr">
        <is>
          <t>06/10/2025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3</v>
      </c>
      <c r="B3" t="inlineStr">
        <is>
          <t>06/10/2025</t>
        </is>
      </c>
      <c r="C3" t="inlineStr">
        <is>
          <t>06/10/2025</t>
        </is>
      </c>
      <c r="D3" t="inlineStr">
        <is>
          <t>RETRAIT ESPECES CPT 6000760 Ret cheq N 6000760 du 06/10/2025 Porteur : BADAKI ABLO MNI-B 91332293</t>
        </is>
      </c>
      <c r="E3" t="n">
        <v>1249000</v>
      </c>
      <c r="F3" t="n">
        <v>0</v>
      </c>
    </row>
    <row r="4">
      <c r="A4" t="n">
        <v>10</v>
      </c>
      <c r="B4" t="inlineStr">
        <is>
          <t>13/10/2025</t>
        </is>
      </c>
      <c r="C4" t="inlineStr">
        <is>
          <t>13/10/2025</t>
        </is>
      </c>
      <c r="D4" t="inlineStr">
        <is>
          <t>RETRAIT ESPECES CPT 6000767 Ret cheq N 6000767 du 13/10/2025 Porteur : BAWILISSIM DONSOSSOU 90021198</t>
        </is>
      </c>
      <c r="E4" t="n">
        <v>541000</v>
      </c>
      <c r="F4" t="n">
        <v>0</v>
      </c>
    </row>
    <row r="5">
      <c r="A5" t="n">
        <v>19</v>
      </c>
      <c r="B5" t="inlineStr">
        <is>
          <t>11/11/2025</t>
        </is>
      </c>
      <c r="C5" t="inlineStr">
        <is>
          <t>11/11/2025</t>
        </is>
      </c>
      <c r="D5" t="inlineStr">
        <is>
          <t>RETRAIT ESPECES CPT 6000657 Ret cheq N 6000657 du 11/11/2025 Porteur : BLEWOU COMLAN YOM</t>
        </is>
      </c>
      <c r="E5" t="n">
        <v>280000</v>
      </c>
      <c r="F5" t="n">
        <v>0</v>
      </c>
    </row>
    <row r="6">
      <c r="A6" t="n">
        <v>45</v>
      </c>
      <c r="B6" t="inlineStr">
        <is>
          <t>20/11/2025</t>
        </is>
      </c>
      <c r="C6" t="inlineStr">
        <is>
          <t>20/11/2025</t>
        </is>
      </c>
      <c r="D6" t="inlineStr">
        <is>
          <t>RETRAIT ESPECES CPT 6000782 Ret cheq N 6000782</t>
        </is>
      </c>
      <c r="E6" t="n">
        <v>322500</v>
      </c>
      <c r="F6" t="n">
        <v>0</v>
      </c>
    </row>
    <row r="7">
      <c r="A7" t="n">
        <v>47</v>
      </c>
      <c r="B7" t="inlineStr">
        <is>
          <t>21/11/2025</t>
        </is>
      </c>
      <c r="C7" t="inlineStr">
        <is>
          <t>21/11/2025</t>
        </is>
      </c>
      <c r="D7" t="inlineStr">
        <is>
          <t>RETRAIT ESPECES CPT 6000798 Ret cheq N 6000798 du 21/11/2025 Porteur : N'BOUKE ESSI DELALI 90 97 97 27</t>
        </is>
      </c>
      <c r="E7" t="n">
        <v>352500</v>
      </c>
      <c r="F7" t="n">
        <v>0</v>
      </c>
    </row>
    <row r="8">
      <c r="A8" t="n">
        <v>48</v>
      </c>
      <c r="B8" t="inlineStr">
        <is>
          <t>21/11/2025</t>
        </is>
      </c>
      <c r="C8" t="inlineStr">
        <is>
          <t>21/11/2025</t>
        </is>
      </c>
      <c r="D8" t="inlineStr">
        <is>
          <t>VERSEMENT ESPECE CPT COURANT Versement especes Bord N 909502 ATTIGLOH KOFFI MAWULI 93174711</t>
        </is>
      </c>
      <c r="E8" t="n">
        <v>0</v>
      </c>
      <c r="F8" t="n">
        <v>1900</v>
      </c>
    </row>
    <row r="9">
      <c r="A9" t="n">
        <v>52</v>
      </c>
      <c r="B9" t="inlineStr">
        <is>
          <t>24/11/2025</t>
        </is>
      </c>
      <c r="C9" t="inlineStr">
        <is>
          <t>24/11/2025</t>
        </is>
      </c>
      <c r="D9" t="inlineStr">
        <is>
          <t>RETRAIT ESPECES CPT 6000664 Ret cheq N 6000664 du 24/11/2025 Porteur : SEDJRO AFANTOLOU 93237688</t>
        </is>
      </c>
      <c r="E9" t="n">
        <v>153000</v>
      </c>
      <c r="F9" t="n">
        <v>0</v>
      </c>
    </row>
    <row r="10">
      <c r="A10" t="n">
        <v>56</v>
      </c>
      <c r="B10" t="inlineStr">
        <is>
          <t>27/11/2025</t>
        </is>
      </c>
      <c r="C10" t="inlineStr">
        <is>
          <t>27/11/2025</t>
        </is>
      </c>
      <c r="D10" t="inlineStr">
        <is>
          <t>RETRAIT ESPECES CPT 6000792 Ret cheq N 6000792 du 27/11/2025 Porteur : KOUDJANE TAFAN97187002</t>
        </is>
      </c>
      <c r="E10" t="n">
        <v>388000</v>
      </c>
      <c r="F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s="3" t="n">
        <v>45931</v>
      </c>
      <c r="C2" t="inlineStr">
        <is>
          <t>Solde au 01/10/2025</t>
        </is>
      </c>
      <c r="D2" t="n">
        <v>0</v>
      </c>
      <c r="E2" t="n">
        <v>0</v>
      </c>
    </row>
    <row r="3">
      <c r="A3" t="n">
        <v>3</v>
      </c>
      <c r="B3" s="3" t="n">
        <v>45936</v>
      </c>
      <c r="C3" t="inlineStr">
        <is>
          <t>Retrait en especes chq n° 6000760</t>
        </is>
      </c>
      <c r="D3" t="n">
        <v>0</v>
      </c>
      <c r="E3" t="n">
        <v>2149000</v>
      </c>
    </row>
    <row r="4">
      <c r="B4" s="3" t="n">
        <v>45943</v>
      </c>
      <c r="C4" t="inlineStr">
        <is>
          <t>Retrait en especes chq n° 6000767</t>
        </is>
      </c>
      <c r="D4" t="n">
        <v>0</v>
      </c>
      <c r="E4" t="n">
        <v>451000</v>
      </c>
    </row>
    <row r="5">
      <c r="A5" t="n">
        <v>8</v>
      </c>
      <c r="B5" s="3" t="n">
        <v>45972</v>
      </c>
      <c r="C5" t="inlineStr">
        <is>
          <t>Retrait en especes chq n° 6000657</t>
        </is>
      </c>
      <c r="D5" t="n">
        <v>0</v>
      </c>
      <c r="E5" t="n">
        <v>820000</v>
      </c>
    </row>
    <row r="6">
      <c r="A6" t="n">
        <v>29</v>
      </c>
      <c r="B6" s="3" t="n">
        <v>45979</v>
      </c>
      <c r="C6" t="inlineStr">
        <is>
          <t>Retrait en especes chq n° 6000783</t>
        </is>
      </c>
      <c r="D6" t="n">
        <v>0</v>
      </c>
      <c r="E6" t="n">
        <v>232500</v>
      </c>
    </row>
    <row r="7">
      <c r="A7" t="n">
        <v>36</v>
      </c>
      <c r="B7" s="3" t="n">
        <v>45982</v>
      </c>
      <c r="C7" t="inlineStr">
        <is>
          <t>Retrait en especes chq n° 6000798</t>
        </is>
      </c>
      <c r="D7" t="n">
        <v>0</v>
      </c>
      <c r="E7" t="n">
        <v>532500</v>
      </c>
    </row>
    <row r="8">
      <c r="A8" t="n">
        <v>37</v>
      </c>
      <c r="B8" s="3" t="n">
        <v>45982</v>
      </c>
      <c r="C8" t="inlineStr">
        <is>
          <t>Versement especes bve 909502</t>
        </is>
      </c>
      <c r="D8" t="n">
        <v>9100</v>
      </c>
      <c r="E8" t="n">
        <v>0</v>
      </c>
    </row>
    <row r="9">
      <c r="A9" t="n">
        <v>41</v>
      </c>
      <c r="B9" s="3" t="n">
        <v>45985</v>
      </c>
      <c r="C9" t="inlineStr">
        <is>
          <t>Retrait en especes chq n° 6000664</t>
        </is>
      </c>
      <c r="D9" t="n">
        <v>0</v>
      </c>
      <c r="E9" t="n">
        <v>513000</v>
      </c>
    </row>
    <row r="10">
      <c r="A10" t="n">
        <v>45</v>
      </c>
      <c r="B10" s="3" t="n">
        <v>45988</v>
      </c>
      <c r="C10" t="inlineStr">
        <is>
          <t>Retrait en especes chq n° 6000792</t>
        </is>
      </c>
      <c r="D10" t="n">
        <v>0</v>
      </c>
      <c r="E10" t="n">
        <v>838000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Date</t>
        </is>
      </c>
      <c r="B1" s="4" t="inlineStr">
        <is>
          <t>Libellés</t>
        </is>
      </c>
      <c r="C1" s="4" t="inlineStr">
        <is>
          <t>Compte courant</t>
        </is>
      </c>
      <c r="D1" s="4" t="n"/>
      <c r="E1" s="4" t="inlineStr">
        <is>
          <t>Relevé bancaire</t>
        </is>
      </c>
      <c r="F1" s="4" t="n"/>
    </row>
    <row r="2">
      <c r="A2" s="4" t="n"/>
      <c r="B2" s="4" t="n"/>
      <c r="C2" s="4" t="inlineStr">
        <is>
          <t>Débit</t>
        </is>
      </c>
      <c r="D2" s="4" t="inlineStr">
        <is>
          <t>Crédit</t>
        </is>
      </c>
      <c r="E2" s="4" t="inlineStr">
        <is>
          <t>Débit</t>
        </is>
      </c>
      <c r="F2" s="4" t="inlineStr">
        <is>
          <t>Crédit</t>
        </is>
      </c>
    </row>
    <row r="3">
      <c r="A3" s="5" t="n"/>
      <c r="B3" s="6" t="inlineStr">
        <is>
          <t>Solde à rectifier</t>
        </is>
      </c>
      <c r="C3" s="7" t="n">
        <v>-877503</v>
      </c>
      <c r="D3" s="7" t="n"/>
      <c r="E3" s="7" t="n"/>
      <c r="F3" s="7" t="n">
        <v>1365297</v>
      </c>
    </row>
    <row r="4">
      <c r="A4" s="5" t="inlineStr">
        <is>
          <t>30/09/2025</t>
        </is>
      </c>
      <c r="B4" s="6" t="inlineStr">
        <is>
          <t>Chq n° 59996</t>
        </is>
      </c>
      <c r="C4" s="7" t="n"/>
      <c r="D4" s="7" t="n"/>
      <c r="E4" s="7" t="n">
        <v>2580000</v>
      </c>
      <c r="F4" s="7" t="n"/>
    </row>
    <row r="5">
      <c r="A5" s="5" t="inlineStr">
        <is>
          <t>30/09/2025</t>
        </is>
      </c>
      <c r="B5" s="6" t="inlineStr">
        <is>
          <t xml:space="preserve">Encaissement de chq CCT </t>
        </is>
      </c>
      <c r="C5" s="7" t="n">
        <v>58000</v>
      </c>
      <c r="D5" s="7" t="n"/>
      <c r="E5" s="7" t="n"/>
      <c r="F5" s="7" t="n"/>
    </row>
    <row r="6">
      <c r="A6" s="5" t="inlineStr">
        <is>
          <t>06/10/2025</t>
        </is>
      </c>
      <c r="B6" s="6" t="inlineStr">
        <is>
          <t>Retrait en especes chq n° 6000760</t>
        </is>
      </c>
      <c r="C6" s="7" t="n"/>
      <c r="D6" s="7" t="n"/>
      <c r="E6" s="7" t="n">
        <v>2149000</v>
      </c>
      <c r="F6" s="7" t="n"/>
    </row>
    <row r="7">
      <c r="A7" s="5" t="inlineStr">
        <is>
          <t>06/10/2025</t>
        </is>
      </c>
      <c r="B7" s="6" t="inlineStr">
        <is>
          <t>RETRAIT ESPECES CPT 6000760 Ret cheq N 6000760 du 06/10/2025 Porteur : BADAKI ABLO MNI-B 91332293</t>
        </is>
      </c>
      <c r="C7" s="7" t="n"/>
      <c r="D7" s="7" t="n">
        <v>1249000</v>
      </c>
      <c r="E7" s="7" t="n"/>
      <c r="F7" s="7" t="n"/>
    </row>
    <row r="8">
      <c r="A8" s="5" t="inlineStr">
        <is>
          <t>13/10/2025</t>
        </is>
      </c>
      <c r="B8" s="6" t="inlineStr">
        <is>
          <t>Retrait en especes chq n° 6000767</t>
        </is>
      </c>
      <c r="C8" s="7" t="n"/>
      <c r="D8" s="7" t="n"/>
      <c r="E8" s="7" t="n">
        <v>451000</v>
      </c>
      <c r="F8" s="7" t="n"/>
    </row>
    <row r="9">
      <c r="A9" s="5" t="inlineStr">
        <is>
          <t>13/10/2025</t>
        </is>
      </c>
      <c r="B9" s="6" t="inlineStr">
        <is>
          <t>RETRAIT ESPECES CPT 6000767 Ret cheq N 6000767 du 13/10/2025 Porteur : BAWILISSIM DONSOSSOU 90021198</t>
        </is>
      </c>
      <c r="C9" s="7" t="n"/>
      <c r="D9" s="7" t="n">
        <v>541000</v>
      </c>
      <c r="E9" s="7" t="n"/>
      <c r="F9" s="7" t="n"/>
    </row>
    <row r="10">
      <c r="A10" s="5" t="inlineStr">
        <is>
          <t>11/11/2025</t>
        </is>
      </c>
      <c r="B10" s="6" t="inlineStr">
        <is>
          <t>Retrait en especes chq n° 6000657</t>
        </is>
      </c>
      <c r="C10" s="7" t="n"/>
      <c r="D10" s="7" t="n"/>
      <c r="E10" s="7" t="n">
        <v>820000</v>
      </c>
      <c r="F10" s="7" t="n"/>
    </row>
    <row r="11">
      <c r="A11" s="5" t="inlineStr">
        <is>
          <t>11/11/2025</t>
        </is>
      </c>
      <c r="B11" s="6" t="inlineStr">
        <is>
          <t>RETRAIT ESPECES CPT 6000657 Ret cheq N 6000657 du 11/11/2025 Porteur : BLEWOU COMLAN YOM</t>
        </is>
      </c>
      <c r="C11" s="7" t="n"/>
      <c r="D11" s="7" t="n">
        <v>280000</v>
      </c>
      <c r="E11" s="7" t="n"/>
      <c r="F11" s="7" t="n"/>
    </row>
    <row r="12">
      <c r="A12" s="5" t="inlineStr">
        <is>
          <t>18/11/2025</t>
        </is>
      </c>
      <c r="B12" s="6" t="inlineStr">
        <is>
          <t>Retrait en especes chq n° 6000783</t>
        </is>
      </c>
      <c r="C12" s="7" t="n"/>
      <c r="D12" s="7" t="n"/>
      <c r="E12" s="7" t="n">
        <v>232500</v>
      </c>
      <c r="F12" s="7" t="n"/>
    </row>
    <row r="13">
      <c r="A13" s="5" t="inlineStr">
        <is>
          <t>20/11/2025</t>
        </is>
      </c>
      <c r="B13" s="6" t="inlineStr">
        <is>
          <t>RETRAIT ESPECES CPT 6000782 Ret cheq N 6000782</t>
        </is>
      </c>
      <c r="C13" s="7" t="n"/>
      <c r="D13" s="7" t="n">
        <v>322500</v>
      </c>
      <c r="E13" s="7" t="n"/>
      <c r="F13" s="7" t="n"/>
    </row>
    <row r="14">
      <c r="A14" s="5" t="inlineStr">
        <is>
          <t>21/11/2025</t>
        </is>
      </c>
      <c r="B14" s="6" t="inlineStr">
        <is>
          <t>Retrait en especes chq n° 6000798</t>
        </is>
      </c>
      <c r="C14" s="7" t="n"/>
      <c r="D14" s="7" t="n"/>
      <c r="E14" s="7" t="n">
        <v>532500</v>
      </c>
      <c r="F14" s="7" t="n"/>
    </row>
    <row r="15">
      <c r="A15" s="5" t="inlineStr">
        <is>
          <t>21/11/2025</t>
        </is>
      </c>
      <c r="B15" s="6" t="inlineStr">
        <is>
          <t>Versement especes bve 909502</t>
        </is>
      </c>
      <c r="C15" s="7" t="n"/>
      <c r="D15" s="7" t="n"/>
      <c r="E15" s="7" t="n"/>
      <c r="F15" s="7" t="n">
        <v>9100</v>
      </c>
    </row>
    <row r="16">
      <c r="A16" s="5" t="inlineStr">
        <is>
          <t>21/11/2025</t>
        </is>
      </c>
      <c r="B16" s="6" t="inlineStr">
        <is>
          <t>RETRAIT ESPECES CPT 6000798 Ret cheq N 6000798 du 21/11/2025 Porteur : N'BOUKE ESSI DELALI 90 97 97 27</t>
        </is>
      </c>
      <c r="C16" s="7" t="n"/>
      <c r="D16" s="7" t="n">
        <v>352500</v>
      </c>
      <c r="E16" s="7" t="n"/>
      <c r="F16" s="7" t="n"/>
    </row>
    <row r="17">
      <c r="A17" s="5" t="inlineStr">
        <is>
          <t>21/11/2025</t>
        </is>
      </c>
      <c r="B17" s="6" t="inlineStr">
        <is>
          <t>VERSEMENT ESPECE CPT COURANT Versement especes Bord N 909502 ATTIGLOH KOFFI MAWULI 93174711</t>
        </is>
      </c>
      <c r="C17" s="7" t="n">
        <v>1900</v>
      </c>
      <c r="D17" s="7" t="n"/>
      <c r="E17" s="7" t="n"/>
      <c r="F17" s="7" t="n"/>
    </row>
    <row r="18">
      <c r="A18" s="5" t="inlineStr">
        <is>
          <t>24/11/2025</t>
        </is>
      </c>
      <c r="B18" s="6" t="inlineStr">
        <is>
          <t>Retrait en especes chq n° 6000664</t>
        </is>
      </c>
      <c r="C18" s="7" t="n"/>
      <c r="D18" s="7" t="n"/>
      <c r="E18" s="7" t="n">
        <v>513000</v>
      </c>
      <c r="F18" s="7" t="n"/>
    </row>
    <row r="19">
      <c r="A19" s="5" t="inlineStr">
        <is>
          <t>24/11/2025</t>
        </is>
      </c>
      <c r="B19" s="6" t="inlineStr">
        <is>
          <t>RETRAIT ESPECES CPT 6000664 Ret cheq N 6000664 du 24/11/2025 Porteur : SEDJRO AFANTOLOU 93237688</t>
        </is>
      </c>
      <c r="C19" s="7" t="n"/>
      <c r="D19" s="7" t="n">
        <v>153000</v>
      </c>
      <c r="E19" s="7" t="n"/>
      <c r="F19" s="7" t="n"/>
    </row>
    <row r="20">
      <c r="A20" s="5" t="inlineStr">
        <is>
          <t>27/11/2025</t>
        </is>
      </c>
      <c r="B20" s="6" t="inlineStr">
        <is>
          <t>Retrait en especes chq n° 6000792</t>
        </is>
      </c>
      <c r="C20" s="7" t="n"/>
      <c r="D20" s="7" t="n"/>
      <c r="E20" s="7" t="n">
        <v>838000</v>
      </c>
      <c r="F20" s="7" t="n"/>
    </row>
    <row r="21">
      <c r="A21" s="5" t="inlineStr">
        <is>
          <t>27/11/2025</t>
        </is>
      </c>
      <c r="B21" s="6" t="inlineStr">
        <is>
          <t>RETRAIT ESPECES CPT 6000792 Ret cheq N 6000792 du 27/11/2025 Porteur : KOUDJANE TAFAN97187002</t>
        </is>
      </c>
      <c r="C21" s="7" t="n"/>
      <c r="D21" s="7" t="n">
        <v>388000</v>
      </c>
      <c r="E21" s="7" t="n"/>
      <c r="F21" s="7" t="n"/>
    </row>
    <row r="22">
      <c r="A22" s="8" t="n"/>
      <c r="B22" s="9" t="inlineStr">
        <is>
          <t>Totaux</t>
        </is>
      </c>
      <c r="C22" s="10">
        <f>SUM(C3:C21)</f>
        <v/>
      </c>
      <c r="D22" s="10">
        <f>SUM(D3:D21)</f>
        <v/>
      </c>
      <c r="E22" s="10">
        <f>SUM(E3:E21)</f>
        <v/>
      </c>
      <c r="F22" s="10">
        <f>SUM(F3:F21)</f>
        <v/>
      </c>
    </row>
    <row r="23">
      <c r="A23" s="4" t="n"/>
      <c r="B23" s="9" t="inlineStr">
        <is>
          <t>Solde rectifié</t>
        </is>
      </c>
      <c r="C23" s="10">
        <f>IF(D22-C22&gt;0, D22-C22, "")</f>
        <v/>
      </c>
      <c r="D23" s="10">
        <f>IF(C22-D22&gt;0, C22-D22, "")</f>
        <v/>
      </c>
      <c r="E23" s="10">
        <f>IF(F22-E22&gt;0, F22-E22, "")</f>
        <v/>
      </c>
      <c r="F23" s="10">
        <f>IF(E22-F22&gt;0, E22-F22, "")</f>
        <v/>
      </c>
    </row>
    <row r="24">
      <c r="A24" s="8" t="n"/>
      <c r="B24" s="9" t="inlineStr">
        <is>
          <t>TOTAUX GENERAUX</t>
        </is>
      </c>
      <c r="C24" s="10">
        <f>SUM(C22, C23)</f>
        <v/>
      </c>
      <c r="D24" s="10">
        <f>SUM(D22, D23)</f>
        <v/>
      </c>
      <c r="E24" s="10">
        <f>SUM(E22, E23)</f>
        <v/>
      </c>
      <c r="F24" s="10">
        <f>SUM(F22, F23)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2025-12-23T11:00:32Z</dcterms:created>
  <dcterms:modified xmlns:dcterms="http://purl.org/dc/terms/" xmlns:xsi="http://www.w3.org/2001/XMLSchema-instance" xsi:type="dcterms:W3CDTF">2025-12-23T11:00:33Z</dcterms:modified>
</cp:coreProperties>
</file>