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fichier_tests\hni\"/>
    </mc:Choice>
  </mc:AlternateContent>
  <xr:revisionPtr revIDLastSave="0" documentId="13_ncr:1_{23C47E1A-6620-44C2-913E-13D41B179BB6}" xr6:coauthVersionLast="47" xr6:coauthVersionMax="47" xr10:uidLastSave="{00000000-0000-0000-0000-000000000000}"/>
  <bookViews>
    <workbookView xWindow="-108" yWindow="-108" windowWidth="23256" windowHeight="12456" xr2:uid="{F0900B1E-C485-4DC4-A2BA-FCAE108F8B36}"/>
  </bookViews>
  <sheets>
    <sheet name="rap Sept 2025" sheetId="2" r:id="rId1"/>
    <sheet name="Feuil1" sheetId="1" r:id="rId2"/>
  </sheets>
  <definedNames>
    <definedName name="_xlnm.Print_Area" localSheetId="0">'rap Sept 2025'!$A$1:$F$14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E11" i="2"/>
  <c r="F11" i="2"/>
  <c r="F13" i="2" s="1"/>
  <c r="C11" i="2"/>
  <c r="C13" i="2" l="1"/>
  <c r="D12" i="2"/>
  <c r="E12" i="2"/>
  <c r="E13" i="2" s="1"/>
  <c r="D13" i="2" l="1"/>
</calcChain>
</file>

<file path=xl/sharedStrings.xml><?xml version="1.0" encoding="utf-8"?>
<sst xmlns="http://schemas.openxmlformats.org/spreadsheetml/2006/main" count="18" uniqueCount="16">
  <si>
    <t>Date</t>
  </si>
  <si>
    <t>Libellés</t>
  </si>
  <si>
    <t>Compte courant</t>
  </si>
  <si>
    <t>Relevé bancaire</t>
  </si>
  <si>
    <t>Débit</t>
  </si>
  <si>
    <t>Crédit</t>
  </si>
  <si>
    <t>Solde à rectifier</t>
  </si>
  <si>
    <t>Totaux</t>
  </si>
  <si>
    <t>Solde rectifié</t>
  </si>
  <si>
    <t>TOTAUL DENERAL</t>
  </si>
  <si>
    <t>Cheque n° 5810870</t>
  </si>
  <si>
    <t>Cheque n° 5810871</t>
  </si>
  <si>
    <t>Cheque n° 5810872</t>
  </si>
  <si>
    <t>Cheque n° 5810873</t>
  </si>
  <si>
    <t>cheque n° 5810865</t>
  </si>
  <si>
    <t>cheque n° 5689823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</si>
</sst>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1" fontId="5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1" applyFont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3" fontId="3" fillId="0" borderId="1" xfId="1" applyNumberFormat="1" applyFont="1" applyBorder="1" applyAlignment="1">
      <alignment horizontal="left" vertical="top"/>
    </xf>
    <xf numFmtId="14" fontId="1" fillId="0" borderId="1" xfId="1" applyNumberFormat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3" fontId="1" fillId="0" borderId="1" xfId="1" applyNumberFormat="1" applyBorder="1" applyAlignment="1">
      <alignment horizontal="right"/>
    </xf>
    <xf numFmtId="3" fontId="1" fillId="0" borderId="1" xfId="1" applyNumberFormat="1" applyBorder="1" applyAlignment="1">
      <alignment horizontal="left" vertical="top"/>
    </xf>
    <xf numFmtId="0" fontId="1" fillId="0" borderId="0" xfId="1" applyAlignment="1">
      <alignment horizontal="left" vertical="top"/>
    </xf>
    <xf numFmtId="3" fontId="1" fillId="2" borderId="1" xfId="1" applyNumberFormat="1" applyFill="1" applyBorder="1" applyAlignment="1">
      <alignment horizontal="right" vertical="top"/>
    </xf>
    <xf numFmtId="3" fontId="1" fillId="0" borderId="1" xfId="1" applyNumberFormat="1" applyBorder="1" applyAlignment="1">
      <alignment horizontal="right" vertical="top"/>
    </xf>
    <xf numFmtId="3" fontId="1" fillId="0" borderId="0" xfId="1" applyNumberForma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1" fillId="0" borderId="3" xfId="1" applyBorder="1" applyAlignment="1">
      <alignment horizontal="left" vertical="top"/>
    </xf>
    <xf numFmtId="41" fontId="1" fillId="0" borderId="1" xfId="3" applyFont="1" applyBorder="1" applyAlignment="1">
      <alignment horizontal="left" vertical="top"/>
    </xf>
    <xf numFmtId="0" fontId="1" fillId="0" borderId="0" xfId="1" applyAlignment="1">
      <alignment horizontal="center" vertical="top"/>
    </xf>
    <xf numFmtId="0" fontId="1" fillId="2" borderId="2" xfId="1" applyFill="1" applyBorder="1" applyAlignment="1">
      <alignment horizontal="center" vertical="top"/>
    </xf>
    <xf numFmtId="0" fontId="1" fillId="2" borderId="3" xfId="1" applyFill="1" applyBorder="1" applyAlignment="1">
      <alignment horizontal="center" vertical="top"/>
    </xf>
    <xf numFmtId="0" fontId="1" fillId="0" borderId="2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top"/>
    </xf>
  </cellXfs>
  <cellStyles count="4">
    <cellStyle name="Milliers [0]" xfId="3" builtinId="6"/>
    <cellStyle name="Normal" xfId="0" builtinId="0"/>
    <cellStyle name="Normal 2 2" xfId="2" xr:uid="{B2BF52A3-133E-43DB-897F-6B27D5A702DA}"/>
    <cellStyle name="Normal 3" xfId="1" xr:uid="{A98FDBB9-69CF-4FE1-9242-437B807F0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B5E3-907B-41FB-BDAC-4F744209289E}">
  <sheetPr>
    <tabColor rgb="FF00B0F0"/>
  </sheetPr>
  <dimension ref="A1:F15"/>
  <sheetViews>
    <sheetView tabSelected="1" topLeftCell="A2" zoomScale="120" zoomScaleNormal="120" workbookViewId="0">
      <selection activeCell="C18" sqref="C18"/>
    </sheetView>
  </sheetViews>
  <sheetFormatPr baseColWidth="10" defaultColWidth="9.33203125" defaultRowHeight="13.2" x14ac:dyDescent="0.3"/>
  <cols>
    <col min="1" max="1" width="9.88671875" style="8" customWidth="1"/>
    <col min="2" max="2" width="29.21875" style="8" customWidth="1"/>
    <col min="3" max="3" width="10.77734375" style="8" customWidth="1"/>
    <col min="4" max="4" width="11.88671875" style="11" customWidth="1"/>
    <col min="5" max="5" width="11.5546875" style="11" customWidth="1"/>
    <col min="6" max="6" width="12.33203125" style="8" customWidth="1"/>
    <col min="7" max="16384" width="9.33203125" style="8"/>
  </cols>
  <sheetData>
    <row r="1" spans="1:6" s="15" customFormat="1" ht="12.75" hidden="1" customHeight="1" x14ac:dyDescent="0.3"/>
    <row r="2" spans="1:6" s="1" customFormat="1" ht="15.6" x14ac:dyDescent="0.3">
      <c r="A2" s="20" t="s">
        <v>0</v>
      </c>
      <c r="B2" s="21" t="s">
        <v>1</v>
      </c>
      <c r="C2" s="22" t="s">
        <v>2</v>
      </c>
      <c r="D2" s="22"/>
      <c r="E2" s="22" t="s">
        <v>3</v>
      </c>
      <c r="F2" s="22"/>
    </row>
    <row r="3" spans="1:6" s="1" customFormat="1" ht="15.6" x14ac:dyDescent="0.3">
      <c r="A3" s="20"/>
      <c r="B3" s="21"/>
      <c r="C3" s="2" t="s">
        <v>4</v>
      </c>
      <c r="D3" s="3" t="s">
        <v>5</v>
      </c>
      <c r="E3" s="3" t="s">
        <v>4</v>
      </c>
      <c r="F3" s="2" t="s">
        <v>5</v>
      </c>
    </row>
    <row r="4" spans="1:6" x14ac:dyDescent="0.25">
      <c r="A4" s="4">
        <v>45961</v>
      </c>
      <c r="B4" s="5" t="s">
        <v>6</v>
      </c>
      <c r="C4" s="6">
        <v>315578462</v>
      </c>
      <c r="D4" s="7"/>
      <c r="E4" s="7"/>
      <c r="F4" s="6">
        <v>324155423</v>
      </c>
    </row>
    <row r="5" spans="1:6" x14ac:dyDescent="0.3">
      <c r="A5" s="4">
        <v>45961</v>
      </c>
      <c r="B5" s="5" t="s">
        <v>10</v>
      </c>
      <c r="C5" s="5"/>
      <c r="D5" s="7"/>
      <c r="E5" s="7">
        <v>89500</v>
      </c>
      <c r="F5" s="5"/>
    </row>
    <row r="6" spans="1:6" x14ac:dyDescent="0.3">
      <c r="A6" s="4">
        <v>45961</v>
      </c>
      <c r="B6" s="5" t="s">
        <v>11</v>
      </c>
      <c r="C6" s="5"/>
      <c r="D6" s="7"/>
      <c r="E6" s="7">
        <v>1852000</v>
      </c>
      <c r="F6" s="5"/>
    </row>
    <row r="7" spans="1:6" x14ac:dyDescent="0.3">
      <c r="A7" s="4">
        <v>45961</v>
      </c>
      <c r="B7" s="5" t="s">
        <v>12</v>
      </c>
      <c r="C7" s="5"/>
      <c r="D7" s="7"/>
      <c r="E7" s="7">
        <v>1384740</v>
      </c>
      <c r="F7" s="5"/>
    </row>
    <row r="8" spans="1:6" x14ac:dyDescent="0.3">
      <c r="A8" s="4">
        <v>45961</v>
      </c>
      <c r="B8" s="5" t="s">
        <v>13</v>
      </c>
      <c r="C8" s="5"/>
      <c r="D8" s="7"/>
      <c r="E8" s="7">
        <v>1400000</v>
      </c>
      <c r="F8" s="5"/>
    </row>
    <row r="9" spans="1:6" x14ac:dyDescent="0.3">
      <c r="A9" s="4">
        <v>45961</v>
      </c>
      <c r="B9" s="13" t="s">
        <v>14</v>
      </c>
      <c r="C9" s="5"/>
      <c r="D9" s="7"/>
      <c r="E9" s="7">
        <v>3760721</v>
      </c>
      <c r="F9" s="5"/>
    </row>
    <row r="10" spans="1:6" x14ac:dyDescent="0.3">
      <c r="A10" s="4">
        <v>45961</v>
      </c>
      <c r="B10" s="13" t="s">
        <v>15</v>
      </c>
      <c r="C10" s="14"/>
      <c r="D10" s="7"/>
      <c r="E10" s="7">
        <v>90000</v>
      </c>
      <c r="F10" s="5"/>
    </row>
    <row r="11" spans="1:6" x14ac:dyDescent="0.3">
      <c r="A11" s="16" t="s">
        <v>7</v>
      </c>
      <c r="B11" s="17"/>
      <c r="C11" s="9">
        <f>SUM(C4:C10)</f>
        <v>315578462</v>
      </c>
      <c r="D11" s="9">
        <f t="shared" ref="D11:F11" si="0">SUM(D4:D10)</f>
        <v>0</v>
      </c>
      <c r="E11" s="9">
        <f t="shared" si="0"/>
        <v>8576961</v>
      </c>
      <c r="F11" s="9">
        <f t="shared" si="0"/>
        <v>324155423</v>
      </c>
    </row>
    <row r="12" spans="1:6" x14ac:dyDescent="0.3">
      <c r="A12" s="18" t="s">
        <v>8</v>
      </c>
      <c r="B12" s="19"/>
      <c r="C12" s="5"/>
      <c r="D12" s="10">
        <f>+C11-D11</f>
        <v>315578462</v>
      </c>
      <c r="E12" s="10">
        <f>+F11-E11</f>
        <v>315578462</v>
      </c>
      <c r="F12" s="5"/>
    </row>
    <row r="13" spans="1:6" x14ac:dyDescent="0.3">
      <c r="A13" s="16" t="s">
        <v>9</v>
      </c>
      <c r="B13" s="17"/>
      <c r="C13" s="9">
        <f>+C11+C12</f>
        <v>315578462</v>
      </c>
      <c r="D13" s="9">
        <f t="shared" ref="D13:F13" si="1">+D11+D12</f>
        <v>315578462</v>
      </c>
      <c r="E13" s="9">
        <f t="shared" si="1"/>
        <v>324155423</v>
      </c>
      <c r="F13" s="9">
        <f t="shared" si="1"/>
        <v>324155423</v>
      </c>
    </row>
    <row r="15" spans="1:6" x14ac:dyDescent="0.3">
      <c r="F15" s="12"/>
    </row>
  </sheetData>
  <mergeCells count="8">
    <mergeCell ref="A11:B11"/>
    <mergeCell ref="A12:B12"/>
    <mergeCell ref="A13:B13"/>
    <mergeCell ref="A2:A3"/>
    <mergeCell ref="B2:B3"/>
    <mergeCell ref="C2:D2"/>
    <mergeCell ref="E2:F2"/>
    <mergeCell ref="A1:XFD1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1520-BD9A-4E92-97B9-B48C77F0F2D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rap Sept 2025</vt:lpstr>
      <vt:lpstr>Feuil1</vt:lpstr>
      <vt:lpstr>'rap Sept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 Koku TAYI</dc:creator>
  <cp:lastModifiedBy>Fiam Koku TAYI</cp:lastModifiedBy>
  <dcterms:created xsi:type="dcterms:W3CDTF">2025-12-22T20:13:49Z</dcterms:created>
  <dcterms:modified xsi:type="dcterms:W3CDTF">2025-12-25T08:34:12Z</dcterms:modified>
</cp:coreProperties>
</file>