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"/>
    </mc:Choice>
  </mc:AlternateContent>
  <xr:revisionPtr revIDLastSave="0" documentId="13_ncr:1_{C9633572-4AA0-4F73-A1BF-D802046E1016}" xr6:coauthVersionLast="47" xr6:coauthVersionMax="47" xr10:uidLastSave="{00000000-0000-0000-0000-000000000000}"/>
  <bookViews>
    <workbookView xWindow="-108" yWindow="-108" windowWidth="23256" windowHeight="12456" xr2:uid="{F0900B1E-C485-4DC4-A2BA-FCAE108F8B36}"/>
  </bookViews>
  <sheets>
    <sheet name="rap Sept 2025" sheetId="2" r:id="rId1"/>
    <sheet name="Feuil1" sheetId="1" r:id="rId2"/>
  </sheets>
  <externalReferences>
    <externalReference r:id="rId3"/>
  </externalReferences>
  <definedNames>
    <definedName name="_xlnm.Print_Area" localSheetId="0">'rap Sept 2025'!$A$1:$F$23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2" l="1"/>
  <c r="E20" i="2"/>
  <c r="F20" i="2"/>
  <c r="F22" i="2"/>
  <c r="C16" i="2"/>
  <c r="C20" i="2" s="1"/>
  <c r="C22" i="2" l="1"/>
  <c r="D21" i="2"/>
  <c r="E21" i="2"/>
  <c r="E22" i="2" s="1"/>
  <c r="D22" i="2" l="1"/>
</calcChain>
</file>

<file path=xl/sharedStrings.xml><?xml version="1.0" encoding="utf-8"?>
<sst xmlns="http://schemas.openxmlformats.org/spreadsheetml/2006/main" count="28" uniqueCount="26">
  <si>
    <t xml:space="preserve">MINISTERE DE LA SANTE ET DE                   </t>
  </si>
  <si>
    <t>REPUBLIQUE TOGOLAISE</t>
  </si>
  <si>
    <t xml:space="preserve"> L'HYGIENE PUBLIQUE                                </t>
  </si>
  <si>
    <t xml:space="preserve">      Travail-Liberté-Patrie</t>
  </si>
  <si>
    <t xml:space="preserve">                    ------------------------</t>
  </si>
  <si>
    <t xml:space="preserve"> </t>
  </si>
  <si>
    <t xml:space="preserve">            SECRETARIAT GENERAL</t>
  </si>
  <si>
    <t xml:space="preserve">                   ----------------------------</t>
  </si>
  <si>
    <t xml:space="preserve">DIRECTION DE LA  PHARMACIE,  DU MEDICAMENT </t>
  </si>
  <si>
    <t>Lomé, le………………………………..</t>
  </si>
  <si>
    <t xml:space="preserve">          ET  DES LABORATOIRES  ( DPML)</t>
  </si>
  <si>
    <t>Etat de rapprochement au 30/09/2025</t>
  </si>
  <si>
    <t>Compte courant ORABANK DPML_VIH-C19RM</t>
  </si>
  <si>
    <t>Date</t>
  </si>
  <si>
    <t>Libellés</t>
  </si>
  <si>
    <t>Compte courant</t>
  </si>
  <si>
    <t>Relevé bancaire</t>
  </si>
  <si>
    <t>Débit</t>
  </si>
  <si>
    <t>Crédit</t>
  </si>
  <si>
    <t>Solde à rectifier</t>
  </si>
  <si>
    <t>Totaux</t>
  </si>
  <si>
    <t>Solde rectifié</t>
  </si>
  <si>
    <t>TOTAUL DENERAL</t>
  </si>
  <si>
    <t>Chq n° 59996</t>
  </si>
  <si>
    <t xml:space="preserve">Encaissement de chq CCT </t>
  </si>
  <si>
    <t>chq n° 59997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</si>
</sst>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1" fontId="12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2" applyFont="1" applyAlignment="1">
      <alignment horizontal="left"/>
    </xf>
    <xf numFmtId="0" fontId="4" fillId="0" borderId="0" xfId="1" applyFont="1"/>
    <xf numFmtId="0" fontId="5" fillId="0" borderId="0" xfId="2" applyFont="1"/>
    <xf numFmtId="0" fontId="6" fillId="0" borderId="0" xfId="2" applyFont="1"/>
    <xf numFmtId="0" fontId="1" fillId="0" borderId="0" xfId="1"/>
    <xf numFmtId="0" fontId="7" fillId="0" borderId="0" xfId="2" applyFont="1"/>
    <xf numFmtId="3" fontId="7" fillId="0" borderId="0" xfId="2" applyNumberFormat="1" applyFont="1"/>
    <xf numFmtId="0" fontId="8" fillId="0" borderId="0" xfId="2" applyFont="1"/>
    <xf numFmtId="0" fontId="3" fillId="0" borderId="0" xfId="2" applyFont="1"/>
    <xf numFmtId="0" fontId="9" fillId="0" borderId="0" xfId="2" applyFont="1"/>
    <xf numFmtId="3" fontId="2" fillId="0" borderId="0" xfId="2" applyNumberFormat="1"/>
    <xf numFmtId="0" fontId="10" fillId="0" borderId="0" xfId="1" applyFont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3" fontId="10" fillId="0" borderId="1" xfId="1" applyNumberFormat="1" applyFont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3" fontId="1" fillId="0" borderId="1" xfId="1" applyNumberFormat="1" applyBorder="1" applyAlignment="1">
      <alignment horizontal="right"/>
    </xf>
    <xf numFmtId="3" fontId="1" fillId="0" borderId="1" xfId="1" applyNumberFormat="1" applyBorder="1" applyAlignment="1">
      <alignment horizontal="left" vertical="top"/>
    </xf>
    <xf numFmtId="0" fontId="1" fillId="0" borderId="0" xfId="1" applyAlignment="1">
      <alignment horizontal="left" vertical="top"/>
    </xf>
    <xf numFmtId="3" fontId="1" fillId="2" borderId="1" xfId="1" applyNumberFormat="1" applyFill="1" applyBorder="1" applyAlignment="1">
      <alignment horizontal="right" vertical="top"/>
    </xf>
    <xf numFmtId="3" fontId="1" fillId="0" borderId="1" xfId="1" applyNumberFormat="1" applyBorder="1" applyAlignment="1">
      <alignment horizontal="right" vertical="top"/>
    </xf>
    <xf numFmtId="3" fontId="1" fillId="0" borderId="0" xfId="1" applyNumberFormat="1" applyAlignment="1">
      <alignment horizontal="left" vertical="top"/>
    </xf>
    <xf numFmtId="0" fontId="11" fillId="0" borderId="0" xfId="1" applyFont="1" applyAlignment="1">
      <alignment horizontal="center" vertical="top"/>
    </xf>
    <xf numFmtId="0" fontId="1" fillId="0" borderId="3" xfId="1" applyBorder="1" applyAlignment="1">
      <alignment horizontal="left" vertical="top"/>
    </xf>
    <xf numFmtId="41" fontId="1" fillId="0" borderId="1" xfId="3" applyFont="1" applyBorder="1" applyAlignment="1">
      <alignment horizontal="left" vertical="top"/>
    </xf>
    <xf numFmtId="0" fontId="1" fillId="2" borderId="2" xfId="1" applyFill="1" applyBorder="1" applyAlignment="1">
      <alignment horizontal="center" vertical="top"/>
    </xf>
    <xf numFmtId="0" fontId="1" fillId="2" borderId="3" xfId="1" applyFill="1" applyBorder="1" applyAlignment="1">
      <alignment horizontal="center" vertical="top"/>
    </xf>
    <xf numFmtId="0" fontId="1" fillId="0" borderId="2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10" fillId="0" borderId="0" xfId="1" applyFont="1" applyAlignment="1">
      <alignment horizontal="center" vertical="top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top"/>
    </xf>
    <xf numFmtId="3" fontId="7" fillId="0" borderId="0" xfId="2" applyNumberFormat="1" applyFont="1" applyAlignment="1">
      <alignment horizontal="left"/>
    </xf>
    <xf numFmtId="0" fontId="1" fillId="0" borderId="0" xfId="1" applyAlignment="1">
      <alignment horizontal="center" vertical="top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8" fillId="0" borderId="0" xfId="2" applyFont="1" applyAlignment="1">
      <alignment horizontal="left"/>
    </xf>
  </cellXfs>
  <cellStyles count="4">
    <cellStyle name="Milliers [0]" xfId="3" builtinId="6"/>
    <cellStyle name="Normal" xfId="0" builtinId="0"/>
    <cellStyle name="Normal 2 2" xfId="2" xr:uid="{B2BF52A3-133E-43DB-897F-6B27D5A702DA}"/>
    <cellStyle name="Normal 3" xfId="1" xr:uid="{A98FDBB9-69CF-4FE1-9242-437B807F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%20ELITE%20BOOK/Desktop/the%20goat/sabi/journal_UGP_C19RM/journal%20banque%20UGP_C19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ril"/>
      <sheetName val="rap Avril_2025"/>
      <sheetName val="Mai"/>
      <sheetName val="rap Mai_2025"/>
      <sheetName val="Juin_2025"/>
      <sheetName val="rap juin_2025"/>
      <sheetName val="Juil_2025"/>
      <sheetName val="rap juil_2025"/>
      <sheetName val="Aout 2024"/>
      <sheetName val="rap Aout_2025 "/>
      <sheetName val="Sept 2025"/>
      <sheetName val="rap Sept 2025"/>
      <sheetName val="Oct 2025"/>
      <sheetName val="rap oct 2025"/>
      <sheetName val="Nov 2025"/>
      <sheetName val="rap Nov 2025"/>
      <sheetName val="Oct 2024"/>
      <sheetName val="rap oct 2024"/>
      <sheetName val="Nov 2024"/>
      <sheetName val="rap Nov 2024"/>
      <sheetName val="Dec 2024"/>
      <sheetName val="rap Dec 2024"/>
      <sheetName val="Janv 2025"/>
      <sheetName val="rap Janv 2025"/>
      <sheetName val="fev 2025"/>
      <sheetName val="rap fev 2025"/>
      <sheetName val="mars 2025"/>
      <sheetName val="rap mars 2025"/>
      <sheetName val="avril 2025"/>
      <sheetName val="rap avril 2025"/>
      <sheetName val="mai 2025"/>
      <sheetName val="rap mai 2025"/>
      <sheetName val="juin 2025"/>
      <sheetName val="rap juin 2025"/>
      <sheetName val="juil 2025"/>
      <sheetName val="rap juil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7">
          <cell r="F27">
            <v>18960597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B5E3-907B-41FB-BDAC-4F744209289E}">
  <sheetPr>
    <tabColor rgb="FF00B0F0"/>
  </sheetPr>
  <dimension ref="A1:F24"/>
  <sheetViews>
    <sheetView tabSelected="1" topLeftCell="A2" zoomScale="120" zoomScaleNormal="120" workbookViewId="0">
      <selection activeCell="F19" sqref="F19"/>
    </sheetView>
  </sheetViews>
  <sheetFormatPr baseColWidth="10" defaultColWidth="9.33203125" defaultRowHeight="13.2" x14ac:dyDescent="0.3"/>
  <cols>
    <col min="1" max="1" width="9.88671875" style="19" customWidth="1"/>
    <col min="2" max="2" width="29.21875" style="19" customWidth="1"/>
    <col min="3" max="3" width="10.77734375" style="19" customWidth="1"/>
    <col min="4" max="4" width="11.88671875" style="22" customWidth="1"/>
    <col min="5" max="5" width="11.5546875" style="22" customWidth="1"/>
    <col min="6" max="6" width="12.33203125" style="19" customWidth="1"/>
    <col min="7" max="16384" width="9.33203125" style="19"/>
  </cols>
  <sheetData>
    <row r="1" spans="1:6" s="35" customFormat="1" ht="12.75" hidden="1" customHeight="1" x14ac:dyDescent="0.3"/>
    <row r="2" spans="1:6" s="2" customFormat="1" ht="13.8" x14ac:dyDescent="0.3">
      <c r="A2" s="36" t="s">
        <v>0</v>
      </c>
      <c r="B2" s="36"/>
      <c r="C2" s="36"/>
      <c r="D2" s="1"/>
      <c r="E2" s="37" t="s">
        <v>1</v>
      </c>
      <c r="F2" s="37"/>
    </row>
    <row r="3" spans="1:6" s="2" customFormat="1" ht="13.8" x14ac:dyDescent="0.3">
      <c r="A3" s="3" t="s">
        <v>2</v>
      </c>
      <c r="C3" s="4"/>
      <c r="D3" s="4"/>
      <c r="E3" s="37" t="s">
        <v>3</v>
      </c>
      <c r="F3" s="37"/>
    </row>
    <row r="4" spans="1:6" s="5" customFormat="1" ht="13.8" x14ac:dyDescent="0.3">
      <c r="A4" s="5" t="s">
        <v>4</v>
      </c>
      <c r="B4" s="6"/>
      <c r="C4" s="6" t="s">
        <v>5</v>
      </c>
      <c r="D4" s="6"/>
      <c r="E4" s="7"/>
    </row>
    <row r="5" spans="1:6" s="5" customFormat="1" ht="13.8" x14ac:dyDescent="0.3">
      <c r="A5" s="38" t="s">
        <v>6</v>
      </c>
      <c r="B5" s="38"/>
      <c r="C5" s="8"/>
      <c r="D5" s="8"/>
      <c r="E5" s="7"/>
    </row>
    <row r="6" spans="1:6" s="5" customFormat="1" ht="13.8" x14ac:dyDescent="0.3">
      <c r="A6" s="5" t="s">
        <v>7</v>
      </c>
      <c r="B6" s="8"/>
      <c r="C6" s="8"/>
      <c r="D6" s="8"/>
      <c r="E6" s="7"/>
    </row>
    <row r="7" spans="1:6" s="5" customFormat="1" ht="13.8" x14ac:dyDescent="0.3">
      <c r="A7" s="9" t="s">
        <v>8</v>
      </c>
      <c r="B7" s="9"/>
      <c r="C7" s="9"/>
      <c r="D7" s="9"/>
      <c r="E7" s="34" t="s">
        <v>9</v>
      </c>
      <c r="F7" s="34"/>
    </row>
    <row r="8" spans="1:6" s="5" customFormat="1" ht="13.8" x14ac:dyDescent="0.3">
      <c r="A8" s="9" t="s">
        <v>10</v>
      </c>
      <c r="B8" s="9"/>
      <c r="C8" s="9"/>
      <c r="D8" s="9"/>
      <c r="E8" s="7"/>
    </row>
    <row r="9" spans="1:6" s="5" customFormat="1" ht="15.6" x14ac:dyDescent="0.3">
      <c r="A9" s="10"/>
      <c r="B9" s="10"/>
      <c r="C9" s="10"/>
      <c r="D9" s="10"/>
      <c r="E9" s="11"/>
    </row>
    <row r="11" spans="1:6" s="12" customFormat="1" ht="15.6" x14ac:dyDescent="0.3">
      <c r="A11" s="30" t="s">
        <v>11</v>
      </c>
      <c r="B11" s="30"/>
      <c r="C11" s="30"/>
      <c r="D11" s="30"/>
      <c r="E11" s="30"/>
      <c r="F11" s="30"/>
    </row>
    <row r="12" spans="1:6" s="12" customFormat="1" ht="15.6" x14ac:dyDescent="0.3">
      <c r="A12" s="30" t="s">
        <v>12</v>
      </c>
      <c r="B12" s="30"/>
      <c r="C12" s="30"/>
      <c r="D12" s="30"/>
      <c r="E12" s="30"/>
      <c r="F12" s="30"/>
    </row>
    <row r="14" spans="1:6" s="12" customFormat="1" ht="15.6" x14ac:dyDescent="0.3">
      <c r="A14" s="31" t="s">
        <v>13</v>
      </c>
      <c r="B14" s="32" t="s">
        <v>14</v>
      </c>
      <c r="C14" s="33" t="s">
        <v>15</v>
      </c>
      <c r="D14" s="33"/>
      <c r="E14" s="33" t="s">
        <v>16</v>
      </c>
      <c r="F14" s="33"/>
    </row>
    <row r="15" spans="1:6" s="12" customFormat="1" ht="15.6" x14ac:dyDescent="0.3">
      <c r="A15" s="31"/>
      <c r="B15" s="32"/>
      <c r="C15" s="13" t="s">
        <v>17</v>
      </c>
      <c r="D15" s="14" t="s">
        <v>18</v>
      </c>
      <c r="E15" s="14" t="s">
        <v>17</v>
      </c>
      <c r="F15" s="13" t="s">
        <v>18</v>
      </c>
    </row>
    <row r="16" spans="1:6" x14ac:dyDescent="0.25">
      <c r="A16" s="15">
        <v>45930</v>
      </c>
      <c r="B16" s="16" t="s">
        <v>19</v>
      </c>
      <c r="C16" s="17">
        <f>+'[1]Sept 2025'!F27</f>
        <v>18960597</v>
      </c>
      <c r="D16" s="18"/>
      <c r="E16" s="18"/>
      <c r="F16" s="17">
        <v>18960597</v>
      </c>
    </row>
    <row r="17" spans="1:6" x14ac:dyDescent="0.3">
      <c r="A17" s="15">
        <v>45930</v>
      </c>
      <c r="B17" s="16" t="s">
        <v>23</v>
      </c>
      <c r="C17" s="16"/>
      <c r="D17" s="18"/>
      <c r="E17" s="18">
        <v>2580000</v>
      </c>
      <c r="F17" s="16"/>
    </row>
    <row r="18" spans="1:6" x14ac:dyDescent="0.3">
      <c r="A18" s="15">
        <v>45930</v>
      </c>
      <c r="B18" s="24" t="s">
        <v>25</v>
      </c>
      <c r="C18" s="16"/>
      <c r="D18" s="18"/>
      <c r="E18" s="18">
        <v>350000</v>
      </c>
      <c r="F18" s="16"/>
    </row>
    <row r="19" spans="1:6" x14ac:dyDescent="0.3">
      <c r="A19" s="15">
        <v>45930</v>
      </c>
      <c r="B19" s="24" t="s">
        <v>24</v>
      </c>
      <c r="C19" s="25">
        <v>58000</v>
      </c>
      <c r="D19" s="18"/>
      <c r="E19" s="18"/>
      <c r="F19" s="16"/>
    </row>
    <row r="20" spans="1:6" x14ac:dyDescent="0.3">
      <c r="A20" s="26" t="s">
        <v>20</v>
      </c>
      <c r="B20" s="27"/>
      <c r="C20" s="20">
        <f>SUM(C16:C19)</f>
        <v>19018597</v>
      </c>
      <c r="D20" s="20">
        <f t="shared" ref="D20:F20" si="0">SUM(D16:D19)</f>
        <v>0</v>
      </c>
      <c r="E20" s="20">
        <f t="shared" si="0"/>
        <v>2930000</v>
      </c>
      <c r="F20" s="20">
        <f t="shared" si="0"/>
        <v>18960597</v>
      </c>
    </row>
    <row r="21" spans="1:6" x14ac:dyDescent="0.3">
      <c r="A21" s="28" t="s">
        <v>21</v>
      </c>
      <c r="B21" s="29"/>
      <c r="C21" s="16"/>
      <c r="D21" s="21">
        <f>+C20-D20</f>
        <v>19018597</v>
      </c>
      <c r="E21" s="21">
        <f>+F20-E20</f>
        <v>16030597</v>
      </c>
      <c r="F21" s="16"/>
    </row>
    <row r="22" spans="1:6" x14ac:dyDescent="0.3">
      <c r="A22" s="26" t="s">
        <v>22</v>
      </c>
      <c r="B22" s="27"/>
      <c r="C22" s="20">
        <f>+C20+C21</f>
        <v>19018597</v>
      </c>
      <c r="D22" s="20">
        <f t="shared" ref="D22:F22" si="1">+D20+D21</f>
        <v>19018597</v>
      </c>
      <c r="E22" s="20">
        <f t="shared" si="1"/>
        <v>18960597</v>
      </c>
      <c r="F22" s="20">
        <f t="shared" si="1"/>
        <v>18960597</v>
      </c>
    </row>
    <row r="24" spans="1:6" x14ac:dyDescent="0.3">
      <c r="F24" s="23"/>
    </row>
  </sheetData>
  <mergeCells count="15">
    <mergeCell ref="E7:F7"/>
    <mergeCell ref="A1:XFD1"/>
    <mergeCell ref="A2:C2"/>
    <mergeCell ref="E2:F2"/>
    <mergeCell ref="E3:F3"/>
    <mergeCell ref="A5:B5"/>
    <mergeCell ref="A20:B20"/>
    <mergeCell ref="A21:B21"/>
    <mergeCell ref="A22:B22"/>
    <mergeCell ref="A11:F11"/>
    <mergeCell ref="A12:F12"/>
    <mergeCell ref="A14:A15"/>
    <mergeCell ref="B14:B15"/>
    <mergeCell ref="C14:D14"/>
    <mergeCell ref="E14:F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1520-BD9A-4E92-97B9-B48C77F0F2D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rap Sept 2025</vt:lpstr>
      <vt:lpstr>Feuil1</vt:lpstr>
      <vt:lpstr>'rap Sept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2025-12-22T20:13:49Z</dcterms:created>
  <dcterms:modified xsi:type="dcterms:W3CDTF">2025-12-22T23:08:13Z</dcterms:modified>
</cp:coreProperties>
</file>